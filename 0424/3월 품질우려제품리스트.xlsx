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6955" windowHeight="12345"/>
  </bookViews>
  <sheets>
    <sheet name="26.3월" sheetId="1" r:id="rId1"/>
  </sheets>
  <definedNames>
    <definedName name="_xlnm.Print_Area" localSheetId="0">'26.3월'!$A$1:$O$52</definedName>
  </definedNames>
  <calcPr calcId="145621"/>
</workbook>
</file>

<file path=xl/calcChain.xml><?xml version="1.0" encoding="utf-8"?>
<calcChain xmlns="http://schemas.openxmlformats.org/spreadsheetml/2006/main">
  <c r="I51" i="1" l="1"/>
  <c r="I52" i="1" s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51" i="1" s="1"/>
  <c r="J34" i="1"/>
  <c r="J31" i="1"/>
  <c r="J30" i="1"/>
  <c r="J29" i="1"/>
  <c r="J28" i="1"/>
  <c r="I27" i="1"/>
  <c r="J25" i="1"/>
  <c r="J24" i="1"/>
  <c r="J22" i="1"/>
  <c r="J21" i="1"/>
  <c r="J20" i="1"/>
  <c r="J19" i="1"/>
  <c r="J14" i="1"/>
  <c r="J13" i="1"/>
  <c r="J12" i="1"/>
  <c r="J11" i="1"/>
  <c r="BK10" i="1"/>
  <c r="J10" i="1"/>
  <c r="BK9" i="1"/>
  <c r="J9" i="1"/>
  <c r="J27" i="1" s="1"/>
  <c r="BF5" i="1"/>
  <c r="BF4" i="1"/>
  <c r="J52" i="1" l="1"/>
</calcChain>
</file>

<file path=xl/sharedStrings.xml><?xml version="1.0" encoding="utf-8"?>
<sst xmlns="http://schemas.openxmlformats.org/spreadsheetml/2006/main" count="253" uniqueCount="105">
  <si>
    <t xml:space="preserve">26년 3월 품질우려 제품 리스트
</t>
    <phoneticPr fontId="3" type="noConversion"/>
  </si>
  <si>
    <t>구분</t>
    <phoneticPr fontId="3" type="noConversion"/>
  </si>
  <si>
    <t>2026년</t>
    <phoneticPr fontId="3" type="noConversion"/>
  </si>
  <si>
    <t>조사 누적 합계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</si>
  <si>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</si>
  <si>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</si>
  <si>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</si>
  <si>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</si>
  <si>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</si>
  <si>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</si>
  <si>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</si>
  <si>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</si>
  <si>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</si>
  <si>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</si>
  <si>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</si>
  <si>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</si>
  <si>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수량 (본)</t>
    <phoneticPr fontId="3" type="noConversion"/>
  </si>
  <si>
    <t>중량 (kg)</t>
    <phoneticPr fontId="3" type="noConversion"/>
  </si>
  <si>
    <t>작성일: 2026-03-30</t>
    <phoneticPr fontId="3" type="noConversion"/>
  </si>
  <si>
    <t>NO</t>
    <phoneticPr fontId="3" type="noConversion"/>
  </si>
  <si>
    <t>생산일</t>
    <phoneticPr fontId="3" type="noConversion"/>
  </si>
  <si>
    <t>재질</t>
    <phoneticPr fontId="3" type="noConversion"/>
  </si>
  <si>
    <t>외경
(mm)</t>
    <phoneticPr fontId="3" type="noConversion"/>
  </si>
  <si>
    <t>두께
(mm)</t>
    <phoneticPr fontId="3" type="noConversion"/>
  </si>
  <si>
    <t>길이
(m)</t>
    <phoneticPr fontId="3" type="noConversion"/>
  </si>
  <si>
    <t>수량
(본)</t>
    <phoneticPr fontId="3" type="noConversion"/>
  </si>
  <si>
    <t>중량
(kg)</t>
    <phoneticPr fontId="3" type="noConversion"/>
  </si>
  <si>
    <t>생산라인</t>
    <phoneticPr fontId="3" type="noConversion"/>
  </si>
  <si>
    <t>위치</t>
    <phoneticPr fontId="3" type="noConversion"/>
  </si>
  <si>
    <t>품질상태
(QC 확인)</t>
    <phoneticPr fontId="3" type="noConversion"/>
  </si>
  <si>
    <t>수요가 
제품</t>
    <phoneticPr fontId="3" type="noConversion"/>
  </si>
  <si>
    <t>영업부문
판매 계획 일정</t>
    <phoneticPr fontId="3" type="noConversion"/>
  </si>
  <si>
    <r>
      <t xml:space="preserve">전
월
</t>
    </r>
    <r>
      <rPr>
        <b/>
        <sz val="12"/>
        <color theme="1"/>
        <rFont val="맑은 고딕"/>
        <family val="3"/>
        <charset val="129"/>
        <scheme val="minor"/>
      </rPr>
      <t>1
공
장</t>
    </r>
    <phoneticPr fontId="3" type="noConversion"/>
  </si>
  <si>
    <t>HR</t>
    <phoneticPr fontId="3" type="noConversion"/>
  </si>
  <si>
    <t>조관5호기</t>
    <phoneticPr fontId="3" type="noConversion"/>
  </si>
  <si>
    <t>4번동</t>
    <phoneticPr fontId="3" type="noConversion"/>
  </si>
  <si>
    <t>적청</t>
    <phoneticPr fontId="3" type="noConversion"/>
  </si>
  <si>
    <t>우신</t>
    <phoneticPr fontId="3" type="noConversion"/>
  </si>
  <si>
    <t>조관9호기</t>
    <phoneticPr fontId="3" type="noConversion"/>
  </si>
  <si>
    <t>3번동</t>
    <phoneticPr fontId="3" type="noConversion"/>
  </si>
  <si>
    <t>-</t>
    <phoneticPr fontId="3" type="noConversion"/>
  </si>
  <si>
    <t>HGI</t>
    <phoneticPr fontId="3" type="noConversion"/>
  </si>
  <si>
    <t>조관6호기</t>
    <phoneticPr fontId="3" type="noConversion"/>
  </si>
  <si>
    <t>오염, 관단적청</t>
    <phoneticPr fontId="3" type="noConversion"/>
  </si>
  <si>
    <t>ㅁ</t>
    <phoneticPr fontId="3" type="noConversion"/>
  </si>
  <si>
    <t>조관6호기</t>
    <phoneticPr fontId="3" type="noConversion"/>
  </si>
  <si>
    <t>3번동</t>
    <phoneticPr fontId="3" type="noConversion"/>
  </si>
  <si>
    <t>오염, 백청</t>
    <phoneticPr fontId="3" type="noConversion"/>
  </si>
  <si>
    <t>오염, 관내부 백청</t>
    <phoneticPr fontId="3" type="noConversion"/>
  </si>
  <si>
    <t>6번동</t>
    <phoneticPr fontId="3" type="noConversion"/>
  </si>
  <si>
    <t>HR</t>
  </si>
  <si>
    <t>4번동</t>
  </si>
  <si>
    <t>적청, 오염</t>
  </si>
  <si>
    <t>PO</t>
  </si>
  <si>
    <t>DMC</t>
    <phoneticPr fontId="3" type="noConversion"/>
  </si>
  <si>
    <t>적청, 오염</t>
    <phoneticPr fontId="3" type="noConversion"/>
  </si>
  <si>
    <r>
      <t xml:space="preserve">전
월
</t>
    </r>
    <r>
      <rPr>
        <b/>
        <sz val="12"/>
        <color theme="1"/>
        <rFont val="맑은 고딕"/>
        <family val="3"/>
        <charset val="129"/>
        <scheme val="minor"/>
      </rPr>
      <t>2
공
장</t>
    </r>
    <phoneticPr fontId="3" type="noConversion"/>
  </si>
  <si>
    <t>조관3호기</t>
    <phoneticPr fontId="3" type="noConversion"/>
  </si>
  <si>
    <t>2번동</t>
    <phoneticPr fontId="3" type="noConversion"/>
  </si>
  <si>
    <t>천막동</t>
    <phoneticPr fontId="3" type="noConversion"/>
  </si>
  <si>
    <t>경동 반품, 
내면비드 미제거, 적청</t>
    <phoneticPr fontId="3" type="noConversion"/>
  </si>
  <si>
    <t>조관10호기</t>
    <phoneticPr fontId="3" type="noConversion"/>
  </si>
  <si>
    <t>대국 백청 반품</t>
    <phoneticPr fontId="3" type="noConversion"/>
  </si>
  <si>
    <t>1번동</t>
    <phoneticPr fontId="3" type="noConversion"/>
  </si>
  <si>
    <t>소 계</t>
    <phoneticPr fontId="3" type="noConversion"/>
  </si>
  <si>
    <t>-</t>
    <phoneticPr fontId="3" type="noConversion"/>
  </si>
  <si>
    <r>
      <t xml:space="preserve">26년
3월
</t>
    </r>
    <r>
      <rPr>
        <b/>
        <sz val="12"/>
        <color theme="1"/>
        <rFont val="맑은 고딕"/>
        <family val="3"/>
        <charset val="129"/>
        <scheme val="minor"/>
      </rPr>
      <t>1공장</t>
    </r>
    <phoneticPr fontId="3" type="noConversion"/>
  </si>
  <si>
    <t>POSM</t>
    <phoneticPr fontId="3" type="noConversion"/>
  </si>
  <si>
    <t>조관7호기</t>
    <phoneticPr fontId="3" type="noConversion"/>
  </si>
  <si>
    <t>2번동</t>
    <phoneticPr fontId="3" type="noConversion"/>
  </si>
  <si>
    <t>오염, 고강도Test</t>
    <phoneticPr fontId="3" type="noConversion"/>
  </si>
  <si>
    <t>HGI</t>
    <phoneticPr fontId="3" type="noConversion"/>
  </si>
  <si>
    <t>조관1호기</t>
    <phoneticPr fontId="3" type="noConversion"/>
  </si>
  <si>
    <t>3번동</t>
    <phoneticPr fontId="3" type="noConversion"/>
  </si>
  <si>
    <t>오염</t>
    <phoneticPr fontId="3" type="noConversion"/>
  </si>
  <si>
    <t>오염, 백청, 3본찍힘</t>
    <phoneticPr fontId="3" type="noConversion"/>
  </si>
  <si>
    <t>재건</t>
    <phoneticPr fontId="3" type="noConversion"/>
  </si>
  <si>
    <t>삼백</t>
    <phoneticPr fontId="3" type="noConversion"/>
  </si>
  <si>
    <t>CR</t>
    <phoneticPr fontId="3" type="noConversion"/>
  </si>
  <si>
    <t>원영매입</t>
    <phoneticPr fontId="3" type="noConversion"/>
  </si>
  <si>
    <t>적청</t>
    <phoneticPr fontId="3" type="noConversion"/>
  </si>
  <si>
    <t>HR</t>
    <phoneticPr fontId="3" type="noConversion"/>
  </si>
  <si>
    <t>조관5호기</t>
    <phoneticPr fontId="3" type="noConversion"/>
  </si>
  <si>
    <t>4번동</t>
    <phoneticPr fontId="3" type="noConversion"/>
  </si>
  <si>
    <t>관단적청</t>
    <phoneticPr fontId="3" type="noConversion"/>
  </si>
  <si>
    <t>캠퍼스</t>
    <phoneticPr fontId="3" type="noConversion"/>
  </si>
  <si>
    <t>원자재 백청</t>
    <phoneticPr fontId="3" type="noConversion"/>
  </si>
  <si>
    <t>조관6호기</t>
    <phoneticPr fontId="3" type="noConversion"/>
  </si>
  <si>
    <t>결로피해, 적청</t>
    <phoneticPr fontId="3" type="noConversion"/>
  </si>
  <si>
    <r>
      <t xml:space="preserve">26년
3월
</t>
    </r>
    <r>
      <rPr>
        <b/>
        <sz val="12"/>
        <color theme="1"/>
        <rFont val="맑은 고딕"/>
        <family val="3"/>
        <charset val="129"/>
        <scheme val="minor"/>
      </rPr>
      <t>2공장</t>
    </r>
    <phoneticPr fontId="3" type="noConversion"/>
  </si>
  <si>
    <t>CL</t>
    <phoneticPr fontId="3" type="noConversion"/>
  </si>
  <si>
    <t>도장3호기</t>
    <phoneticPr fontId="3" type="noConversion"/>
  </si>
  <si>
    <t>1번동</t>
    <phoneticPr fontId="3" type="noConversion"/>
  </si>
  <si>
    <t>먼지오염</t>
    <phoneticPr fontId="3" type="noConversion"/>
  </si>
  <si>
    <t>먼지오염, 매입도장품</t>
    <phoneticPr fontId="3" type="noConversion"/>
  </si>
  <si>
    <t>조관10호기</t>
    <phoneticPr fontId="3" type="noConversion"/>
  </si>
  <si>
    <t>천막동</t>
    <phoneticPr fontId="3" type="noConversion"/>
  </si>
  <si>
    <t>뉴월드</t>
    <phoneticPr fontId="3" type="noConversion"/>
  </si>
  <si>
    <t>세진
뉴월드</t>
    <phoneticPr fontId="3" type="noConversion"/>
  </si>
  <si>
    <t>ZAM</t>
    <phoneticPr fontId="3" type="noConversion"/>
  </si>
  <si>
    <t>조관3호기</t>
    <phoneticPr fontId="3" type="noConversion"/>
  </si>
  <si>
    <t>먼지오염, 2.1T 마킹</t>
    <phoneticPr fontId="3" type="noConversion"/>
  </si>
  <si>
    <t>소 계</t>
    <phoneticPr fontId="3" type="noConversion"/>
  </si>
  <si>
    <t>합 계</t>
    <phoneticPr fontId="3" type="noConversion"/>
  </si>
  <si>
    <t>작성일 기준 현재 재고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</si>
</sst>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);[Red]\(#,##0\)"/>
    <numFmt numFmtId="177" formatCode="#,##0_ "/>
    <numFmt numFmtId="178" formatCode="yy\.mm&quot;월&quot;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26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7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4" fontId="8" fillId="0" borderId="5" xfId="0" applyNumberFormat="1" applyFont="1" applyBorder="1" applyAlignment="1">
      <alignment horizontal="right" vertical="center"/>
    </xf>
    <xf numFmtId="14" fontId="8" fillId="0" borderId="0" xfId="0" applyNumberFormat="1" applyFont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Fill="1">
      <alignment vertical="center"/>
    </xf>
    <xf numFmtId="0" fontId="0" fillId="0" borderId="0" xfId="0" applyFill="1">
      <alignment vertical="center"/>
    </xf>
    <xf numFmtId="0" fontId="5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7" fontId="6" fillId="0" borderId="16" xfId="0" applyNumberFormat="1" applyFont="1" applyFill="1" applyBorder="1" applyAlignment="1">
      <alignment horizontal="center" vertical="center"/>
    </xf>
    <xf numFmtId="176" fontId="6" fillId="0" borderId="17" xfId="1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 shrinkToFit="1"/>
    </xf>
    <xf numFmtId="0" fontId="6" fillId="0" borderId="3" xfId="0" applyFont="1" applyFill="1" applyBorder="1" applyAlignment="1">
      <alignment horizontal="center" vertical="center" wrapText="1" shrinkToFit="1"/>
    </xf>
    <xf numFmtId="0" fontId="6" fillId="0" borderId="18" xfId="0" applyFont="1" applyFill="1" applyBorder="1" applyAlignment="1">
      <alignment horizontal="center" vertical="center" wrapText="1" shrinkToFit="1"/>
    </xf>
    <xf numFmtId="0" fontId="6" fillId="0" borderId="0" xfId="0" applyFont="1" applyFill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176" fontId="11" fillId="0" borderId="17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6" fillId="0" borderId="4" xfId="1" applyNumberFormat="1" applyFont="1" applyFill="1" applyBorder="1" applyAlignment="1">
      <alignment horizontal="center" vertical="center" wrapText="1"/>
    </xf>
    <xf numFmtId="176" fontId="6" fillId="0" borderId="3" xfId="1" applyNumberFormat="1" applyFont="1" applyFill="1" applyBorder="1" applyAlignment="1">
      <alignment horizontal="center" vertical="center" wrapText="1"/>
    </xf>
    <xf numFmtId="176" fontId="6" fillId="0" borderId="19" xfId="1" applyNumberFormat="1" applyFont="1" applyFill="1" applyBorder="1" applyAlignment="1">
      <alignment horizontal="center" vertical="center"/>
    </xf>
    <xf numFmtId="178" fontId="6" fillId="0" borderId="15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177" fontId="6" fillId="0" borderId="20" xfId="0" applyNumberFormat="1" applyFont="1" applyFill="1" applyBorder="1" applyAlignment="1">
      <alignment horizontal="center" vertical="center"/>
    </xf>
    <xf numFmtId="176" fontId="6" fillId="0" borderId="21" xfId="1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 shrinkToFit="1"/>
    </xf>
    <xf numFmtId="0" fontId="6" fillId="0" borderId="23" xfId="0" applyFont="1" applyFill="1" applyBorder="1" applyAlignment="1">
      <alignment horizontal="center" vertical="center" wrapText="1" shrinkToFit="1"/>
    </xf>
    <xf numFmtId="0" fontId="6" fillId="0" borderId="24" xfId="0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6" fontId="6" fillId="0" borderId="16" xfId="1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176" fontId="6" fillId="0" borderId="20" xfId="1" applyNumberFormat="1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/>
    </xf>
    <xf numFmtId="176" fontId="6" fillId="0" borderId="23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 shrinkToFit="1"/>
    </xf>
    <xf numFmtId="0" fontId="5" fillId="3" borderId="14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7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6" fillId="0" borderId="24" xfId="0" applyFont="1" applyBorder="1" applyAlignment="1">
      <alignment horizontal="center" vertical="center" wrapText="1" shrinkToFit="1"/>
    </xf>
    <xf numFmtId="0" fontId="10" fillId="3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177" fontId="6" fillId="0" borderId="32" xfId="0" applyNumberFormat="1" applyFont="1" applyFill="1" applyBorder="1" applyAlignment="1">
      <alignment horizontal="center" vertical="center"/>
    </xf>
    <xf numFmtId="176" fontId="6" fillId="0" borderId="33" xfId="1" applyNumberFormat="1" applyFont="1" applyFill="1" applyBorder="1" applyAlignment="1">
      <alignment horizontal="center" vertical="center"/>
    </xf>
    <xf numFmtId="176" fontId="6" fillId="0" borderId="34" xfId="1" applyNumberFormat="1" applyFont="1" applyFill="1" applyBorder="1" applyAlignment="1">
      <alignment horizontal="center" vertical="center"/>
    </xf>
    <xf numFmtId="176" fontId="6" fillId="0" borderId="30" xfId="1" applyNumberFormat="1" applyFont="1" applyFill="1" applyBorder="1" applyAlignment="1">
      <alignment horizontal="center" vertical="center"/>
    </xf>
    <xf numFmtId="176" fontId="6" fillId="0" borderId="35" xfId="1" applyNumberFormat="1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 shrinkToFit="1"/>
    </xf>
    <xf numFmtId="0" fontId="6" fillId="0" borderId="5" xfId="0" applyFont="1" applyFill="1" applyBorder="1" applyAlignment="1">
      <alignment horizontal="center" vertical="center" wrapText="1" shrinkToFit="1"/>
    </xf>
    <xf numFmtId="0" fontId="6" fillId="0" borderId="9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177" fontId="6" fillId="0" borderId="26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177" fontId="12" fillId="4" borderId="40" xfId="1" applyNumberFormat="1" applyFont="1" applyFill="1" applyBorder="1" applyAlignment="1">
      <alignment horizontal="center" vertical="center"/>
    </xf>
    <xf numFmtId="177" fontId="12" fillId="4" borderId="41" xfId="1" applyNumberFormat="1" applyFont="1" applyFill="1" applyBorder="1" applyAlignment="1">
      <alignment horizontal="center" vertical="center"/>
    </xf>
    <xf numFmtId="177" fontId="12" fillId="4" borderId="42" xfId="1" applyNumberFormat="1" applyFont="1" applyFill="1" applyBorder="1" applyAlignment="1">
      <alignment horizontal="center" vertical="center"/>
    </xf>
    <xf numFmtId="177" fontId="12" fillId="4" borderId="38" xfId="1" applyNumberFormat="1" applyFont="1" applyFill="1" applyBorder="1" applyAlignment="1">
      <alignment horizontal="center" vertical="center"/>
    </xf>
    <xf numFmtId="177" fontId="12" fillId="4" borderId="43" xfId="1" applyNumberFormat="1" applyFont="1" applyFill="1" applyBorder="1" applyAlignment="1">
      <alignment horizontal="center" vertical="center"/>
    </xf>
    <xf numFmtId="177" fontId="12" fillId="4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17689</xdr:colOff>
          <xdr:row>1</xdr:row>
          <xdr:rowOff>32654</xdr:rowOff>
        </xdr:from>
        <xdr:to>
          <xdr:col>13</xdr:col>
          <xdr:colOff>548367</xdr:colOff>
          <xdr:row>5</xdr:row>
          <xdr:rowOff>32654</xdr:rowOff>
        </xdr:to>
        <xdr:pic>
          <xdr:nvPicPr>
            <xdr:cNvPr id="2" name="그림 1"/>
            <xdr:cNvPicPr>
              <a:picLocks noChangeAspect="1" noChangeArrowheads="1"/>
              <a:extLst>
                <a:ext uri="{84589F7E-364E-4C9E-8A38-B11213B215E9}">
                  <a14:cameraTool cellRange="$AS$2:$BF$5" spid="_x0000_s10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689" y="372833"/>
              <a:ext cx="10314214" cy="13607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L53"/>
  <sheetViews>
    <sheetView showGridLines="0" tabSelected="1" zoomScale="70" zoomScaleNormal="70" zoomScaleSheetLayoutView="70" zoomScalePageLayoutView="40" workbookViewId="0">
      <selection activeCell="R4" sqref="R4"/>
    </sheetView>
  </sheetViews>
  <sheetFormatPr defaultRowHeight="39" x14ac:dyDescent="0.3"/>
  <cols>
    <col min="1" max="1" width="5.125" style="113" customWidth="1"/>
    <col min="2" max="2" width="6.25" style="113" customWidth="1"/>
    <col min="3" max="3" width="11" style="113" customWidth="1"/>
    <col min="4" max="8" width="7.75" style="114" customWidth="1"/>
    <col min="9" max="9" width="11" style="114" customWidth="1"/>
    <col min="10" max="10" width="11" style="115" customWidth="1"/>
    <col min="11" max="11" width="10.875" style="115" customWidth="1"/>
    <col min="12" max="12" width="11" style="113" customWidth="1"/>
    <col min="13" max="13" width="23.375" style="115" customWidth="1"/>
    <col min="14" max="14" width="10.125" style="115" customWidth="1"/>
    <col min="15" max="40" width="17.75" style="116" customWidth="1"/>
    <col min="41" max="44" width="0" hidden="1" customWidth="1"/>
    <col min="46" max="46" width="9.75" bestFit="1" customWidth="1"/>
    <col min="47" max="48" width="9.625" bestFit="1" customWidth="1"/>
    <col min="52" max="57" width="9.125" bestFit="1" customWidth="1"/>
    <col min="58" max="58" width="15.875" bestFit="1" customWidth="1"/>
    <col min="62" max="64" width="0" hidden="1" customWidth="1"/>
  </cols>
  <sheetData>
    <row r="1" spans="1:64" ht="26.2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64" ht="26.25" x14ac:dyDescent="0.3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S2" s="5" t="s">
        <v>1</v>
      </c>
      <c r="AT2" s="6" t="s">
        <v>2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9" t="s">
        <v>3</v>
      </c>
    </row>
    <row r="3" spans="1:64" ht="26.25" x14ac:dyDescent="0.3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S3" s="5"/>
      <c r="AT3" s="10" t="s">
        <v>4</v>
      </c>
      <c r="AU3" s="10" t="s">
        <v>5</v>
      </c>
      <c r="AV3" s="10" t="s">
        <v>6</v>
      </c>
      <c r="AW3" s="10" t="s">
        <v>7</v>
      </c>
      <c r="AX3" s="10" t="s">
        <v>8</v>
      </c>
      <c r="AY3" s="10" t="s">
        <v>9</v>
      </c>
      <c r="AZ3" s="10" t="s">
        <v>10</v>
      </c>
      <c r="BA3" s="10" t="s">
        <v>11</v>
      </c>
      <c r="BB3" s="10" t="s">
        <v>12</v>
      </c>
      <c r="BC3" s="10" t="s">
        <v>13</v>
      </c>
      <c r="BD3" s="10" t="s">
        <v>14</v>
      </c>
      <c r="BE3" s="10" t="s">
        <v>15</v>
      </c>
      <c r="BF3" s="5"/>
    </row>
    <row r="4" spans="1:64" ht="26.25" x14ac:dyDescent="0.3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2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S4" s="10" t="s">
        <v>16</v>
      </c>
      <c r="AT4" s="11">
        <v>8588</v>
      </c>
      <c r="AU4" s="11">
        <v>5511</v>
      </c>
      <c r="AV4" s="11">
        <v>5586</v>
      </c>
      <c r="AW4" s="11"/>
      <c r="AX4" s="11"/>
      <c r="AY4" s="11"/>
      <c r="AZ4" s="12"/>
      <c r="BA4" s="12"/>
      <c r="BB4" s="12"/>
      <c r="BC4" s="12"/>
      <c r="BD4" s="12"/>
      <c r="BE4" s="12"/>
      <c r="BF4" s="13">
        <f>SUM(AT4:BE4)</f>
        <v>19685</v>
      </c>
    </row>
    <row r="5" spans="1:64" ht="26.25" x14ac:dyDescent="0.3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2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S5" s="10" t="s">
        <v>17</v>
      </c>
      <c r="AT5" s="11">
        <v>185722</v>
      </c>
      <c r="AU5" s="11">
        <v>162124</v>
      </c>
      <c r="AV5" s="11">
        <v>110935</v>
      </c>
      <c r="AW5" s="11"/>
      <c r="AX5" s="11"/>
      <c r="AY5" s="11"/>
      <c r="AZ5" s="12"/>
      <c r="BA5" s="12"/>
      <c r="BB5" s="12"/>
      <c r="BC5" s="12"/>
      <c r="BD5" s="12"/>
      <c r="BE5" s="12"/>
      <c r="BF5" s="13">
        <f>SUM(AT5:BE5)</f>
        <v>458781</v>
      </c>
    </row>
    <row r="6" spans="1:64" ht="27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5"/>
      <c r="K6" s="15"/>
      <c r="L6" s="14"/>
      <c r="M6" s="16"/>
      <c r="N6" s="16"/>
      <c r="O6" s="17" t="s">
        <v>18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64" s="33" customFormat="1" ht="48.75" customHeight="1" x14ac:dyDescent="0.3">
      <c r="A7" s="19" t="s">
        <v>19</v>
      </c>
      <c r="B7" s="20"/>
      <c r="C7" s="21" t="s">
        <v>20</v>
      </c>
      <c r="D7" s="22" t="s">
        <v>21</v>
      </c>
      <c r="E7" s="23" t="s">
        <v>22</v>
      </c>
      <c r="F7" s="24"/>
      <c r="G7" s="25" t="s">
        <v>23</v>
      </c>
      <c r="H7" s="26" t="s">
        <v>24</v>
      </c>
      <c r="I7" s="27" t="s">
        <v>25</v>
      </c>
      <c r="J7" s="28" t="s">
        <v>26</v>
      </c>
      <c r="K7" s="26" t="s">
        <v>27</v>
      </c>
      <c r="L7" s="29" t="s">
        <v>28</v>
      </c>
      <c r="M7" s="26" t="s">
        <v>29</v>
      </c>
      <c r="N7" s="26" t="s">
        <v>30</v>
      </c>
      <c r="O7" s="30" t="s">
        <v>31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2"/>
      <c r="AP7" s="32"/>
      <c r="AQ7" s="32"/>
    </row>
    <row r="8" spans="1:64" ht="34.5" customHeight="1" x14ac:dyDescent="0.3">
      <c r="A8" s="34">
        <v>1</v>
      </c>
      <c r="B8" s="35" t="s">
        <v>32</v>
      </c>
      <c r="C8" s="36">
        <v>45352</v>
      </c>
      <c r="D8" s="37" t="s">
        <v>33</v>
      </c>
      <c r="E8" s="37">
        <v>45.5</v>
      </c>
      <c r="F8" s="37">
        <v>45.7</v>
      </c>
      <c r="G8" s="37">
        <v>1.4</v>
      </c>
      <c r="H8" s="38">
        <v>6</v>
      </c>
      <c r="I8" s="39">
        <v>100</v>
      </c>
      <c r="J8" s="40">
        <v>1023</v>
      </c>
      <c r="K8" s="41" t="s">
        <v>34</v>
      </c>
      <c r="L8" s="37" t="s">
        <v>35</v>
      </c>
      <c r="M8" s="42" t="s">
        <v>36</v>
      </c>
      <c r="N8" s="43" t="s">
        <v>37</v>
      </c>
      <c r="O8" s="44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6"/>
      <c r="AP8" s="46"/>
      <c r="AQ8" s="46"/>
    </row>
    <row r="9" spans="1:64" ht="34.5" customHeight="1" x14ac:dyDescent="0.3">
      <c r="A9" s="34">
        <v>2</v>
      </c>
      <c r="B9" s="47"/>
      <c r="C9" s="36">
        <v>45627</v>
      </c>
      <c r="D9" s="37" t="s">
        <v>33</v>
      </c>
      <c r="E9" s="37">
        <v>190.7</v>
      </c>
      <c r="F9" s="37"/>
      <c r="G9" s="37">
        <v>4.2</v>
      </c>
      <c r="H9" s="38">
        <v>6</v>
      </c>
      <c r="I9" s="39">
        <v>5</v>
      </c>
      <c r="J9" s="40">
        <f t="shared" ref="J9" si="0">(E9-G9)*G9*0.02466*H9*I9</f>
        <v>579.48534000000006</v>
      </c>
      <c r="K9" s="41" t="s">
        <v>38</v>
      </c>
      <c r="L9" s="37" t="s">
        <v>39</v>
      </c>
      <c r="M9" s="42" t="s">
        <v>36</v>
      </c>
      <c r="N9" s="43" t="s">
        <v>40</v>
      </c>
      <c r="O9" s="44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6"/>
      <c r="AP9" s="46"/>
      <c r="AQ9" s="46"/>
      <c r="BK9" s="48">
        <f>(BF9-BH9)*BH9*0.02466*BI9*BJ9</f>
        <v>0</v>
      </c>
      <c r="BL9" s="49">
        <v>0</v>
      </c>
    </row>
    <row r="10" spans="1:64" ht="34.5" customHeight="1" x14ac:dyDescent="0.3">
      <c r="A10" s="34">
        <v>3</v>
      </c>
      <c r="B10" s="47"/>
      <c r="C10" s="36">
        <v>45717</v>
      </c>
      <c r="D10" s="37" t="s">
        <v>41</v>
      </c>
      <c r="E10" s="37">
        <v>89.1</v>
      </c>
      <c r="F10" s="37"/>
      <c r="G10" s="37">
        <v>2.9</v>
      </c>
      <c r="H10" s="38">
        <v>5.5</v>
      </c>
      <c r="I10" s="39">
        <v>72</v>
      </c>
      <c r="J10" s="40">
        <f>(E10-G10)*G10*0.02466*H10*I10</f>
        <v>2441.1446927999996</v>
      </c>
      <c r="K10" s="41" t="s">
        <v>42</v>
      </c>
      <c r="L10" s="37" t="s">
        <v>35</v>
      </c>
      <c r="M10" s="50" t="s">
        <v>43</v>
      </c>
      <c r="N10" s="51" t="s">
        <v>40</v>
      </c>
      <c r="O10" s="44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6"/>
      <c r="AP10" s="46"/>
      <c r="AQ10" s="46"/>
      <c r="BK10" s="48">
        <f>((BF10+BG10)-3.2876*BH10)*BH10*0.0157*BI10*BJ10</f>
        <v>0</v>
      </c>
      <c r="BL10" s="49" t="s">
        <v>44</v>
      </c>
    </row>
    <row r="11" spans="1:64" ht="34.5" customHeight="1" x14ac:dyDescent="0.3">
      <c r="A11" s="34">
        <v>4</v>
      </c>
      <c r="B11" s="47"/>
      <c r="C11" s="36">
        <v>45748</v>
      </c>
      <c r="D11" s="37" t="s">
        <v>33</v>
      </c>
      <c r="E11" s="37">
        <v>190.7</v>
      </c>
      <c r="F11" s="37"/>
      <c r="G11" s="37">
        <v>6.6</v>
      </c>
      <c r="H11" s="38">
        <v>6</v>
      </c>
      <c r="I11" s="39">
        <v>33</v>
      </c>
      <c r="J11" s="40">
        <f>(E11-G11)*G11*0.02466*H11*I11</f>
        <v>5932.7491608</v>
      </c>
      <c r="K11" s="52" t="s">
        <v>38</v>
      </c>
      <c r="L11" s="37" t="s">
        <v>39</v>
      </c>
      <c r="M11" s="42" t="s">
        <v>36</v>
      </c>
      <c r="N11" s="43" t="s">
        <v>40</v>
      </c>
      <c r="O11" s="4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6"/>
      <c r="AP11" s="46"/>
      <c r="AQ11" s="46"/>
    </row>
    <row r="12" spans="1:64" ht="34.5" customHeight="1" x14ac:dyDescent="0.3">
      <c r="A12" s="34">
        <v>5</v>
      </c>
      <c r="B12" s="47"/>
      <c r="C12" s="53">
        <v>45839</v>
      </c>
      <c r="D12" s="54" t="s">
        <v>41</v>
      </c>
      <c r="E12" s="54">
        <v>75</v>
      </c>
      <c r="F12" s="54">
        <v>45</v>
      </c>
      <c r="G12" s="54">
        <v>2.9</v>
      </c>
      <c r="H12" s="55">
        <v>6</v>
      </c>
      <c r="I12" s="56">
        <v>69</v>
      </c>
      <c r="J12" s="57">
        <f>((E12+F12)-3.2876*G12)*G12*0.0157*H12*I12</f>
        <v>2082.2192757431994</v>
      </c>
      <c r="K12" s="52" t="s">
        <v>45</v>
      </c>
      <c r="L12" s="54" t="s">
        <v>46</v>
      </c>
      <c r="M12" s="58" t="s">
        <v>47</v>
      </c>
      <c r="N12" s="59" t="s">
        <v>40</v>
      </c>
      <c r="O12" s="60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9"/>
      <c r="AP12" s="49"/>
      <c r="AQ12" s="49"/>
    </row>
    <row r="13" spans="1:64" ht="34.5" customHeight="1" x14ac:dyDescent="0.3">
      <c r="A13" s="34">
        <v>6</v>
      </c>
      <c r="B13" s="47"/>
      <c r="C13" s="36">
        <v>45901</v>
      </c>
      <c r="D13" s="37" t="s">
        <v>41</v>
      </c>
      <c r="E13" s="37">
        <v>30</v>
      </c>
      <c r="F13" s="37">
        <v>30</v>
      </c>
      <c r="G13" s="37">
        <v>2</v>
      </c>
      <c r="H13" s="38">
        <v>6</v>
      </c>
      <c r="I13" s="39">
        <v>1160</v>
      </c>
      <c r="J13" s="57">
        <f>((E13+F13)-3.2876*G13)*G13*0.0157*H13*I13</f>
        <v>11675.6694912</v>
      </c>
      <c r="K13" s="41" t="s">
        <v>34</v>
      </c>
      <c r="L13" s="37" t="s">
        <v>35</v>
      </c>
      <c r="M13" s="42" t="s">
        <v>48</v>
      </c>
      <c r="N13" s="43" t="s">
        <v>40</v>
      </c>
      <c r="O13" s="44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9"/>
      <c r="AP13" s="49"/>
      <c r="AQ13" s="49"/>
    </row>
    <row r="14" spans="1:64" ht="34.5" customHeight="1" x14ac:dyDescent="0.3">
      <c r="A14" s="34">
        <v>7</v>
      </c>
      <c r="B14" s="47"/>
      <c r="C14" s="36">
        <v>45748</v>
      </c>
      <c r="D14" s="61" t="s">
        <v>33</v>
      </c>
      <c r="E14" s="61">
        <v>150</v>
      </c>
      <c r="F14" s="61">
        <v>75</v>
      </c>
      <c r="G14" s="61">
        <v>4.2</v>
      </c>
      <c r="H14" s="62">
        <v>6</v>
      </c>
      <c r="I14" s="63">
        <v>216</v>
      </c>
      <c r="J14" s="57">
        <f t="shared" ref="J14" si="1">((E14+F14)-3.2876*G14)*G14*0.0157*H14*I14</f>
        <v>18048.103458739199</v>
      </c>
      <c r="K14" s="64" t="s">
        <v>38</v>
      </c>
      <c r="L14" s="61" t="s">
        <v>49</v>
      </c>
      <c r="M14" s="65" t="s">
        <v>36</v>
      </c>
      <c r="N14" s="66" t="s">
        <v>40</v>
      </c>
      <c r="O14" s="67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9"/>
      <c r="AP14" s="49"/>
      <c r="AQ14" s="49"/>
    </row>
    <row r="15" spans="1:64" ht="34.5" customHeight="1" x14ac:dyDescent="0.3">
      <c r="A15" s="34">
        <v>8</v>
      </c>
      <c r="B15" s="47"/>
      <c r="C15" s="36">
        <v>45809</v>
      </c>
      <c r="D15" s="61" t="s">
        <v>50</v>
      </c>
      <c r="E15" s="61">
        <v>42.2</v>
      </c>
      <c r="F15" s="61"/>
      <c r="G15" s="61">
        <v>1.4</v>
      </c>
      <c r="H15" s="62">
        <v>6</v>
      </c>
      <c r="I15" s="63">
        <v>1397</v>
      </c>
      <c r="J15" s="40">
        <v>11806.710854400002</v>
      </c>
      <c r="K15" s="68" t="s">
        <v>34</v>
      </c>
      <c r="L15" s="61" t="s">
        <v>51</v>
      </c>
      <c r="M15" s="65" t="s">
        <v>52</v>
      </c>
      <c r="N15" s="66" t="s">
        <v>40</v>
      </c>
      <c r="O15" s="67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9"/>
      <c r="AP15" s="49"/>
      <c r="AQ15" s="49"/>
    </row>
    <row r="16" spans="1:64" ht="34.5" customHeight="1" x14ac:dyDescent="0.3">
      <c r="A16" s="34">
        <v>9</v>
      </c>
      <c r="B16" s="47"/>
      <c r="C16" s="36">
        <v>45809</v>
      </c>
      <c r="D16" s="61" t="s">
        <v>50</v>
      </c>
      <c r="E16" s="61">
        <v>48.6</v>
      </c>
      <c r="F16" s="61"/>
      <c r="G16" s="61">
        <v>2.2999999999999998</v>
      </c>
      <c r="H16" s="62">
        <v>6</v>
      </c>
      <c r="I16" s="63">
        <v>56</v>
      </c>
      <c r="J16" s="40">
        <v>15126.009983999998</v>
      </c>
      <c r="K16" s="68" t="s">
        <v>34</v>
      </c>
      <c r="L16" s="61" t="s">
        <v>51</v>
      </c>
      <c r="M16" s="65" t="s">
        <v>52</v>
      </c>
      <c r="N16" s="66" t="s">
        <v>40</v>
      </c>
      <c r="O16" s="67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9"/>
      <c r="AP16" s="49"/>
      <c r="AQ16" s="49"/>
    </row>
    <row r="17" spans="1:43" ht="34.5" customHeight="1" x14ac:dyDescent="0.3">
      <c r="A17" s="34">
        <v>10</v>
      </c>
      <c r="B17" s="47"/>
      <c r="C17" s="69">
        <v>45901</v>
      </c>
      <c r="D17" s="61" t="s">
        <v>53</v>
      </c>
      <c r="E17" s="61">
        <v>30</v>
      </c>
      <c r="F17" s="61">
        <v>30</v>
      </c>
      <c r="G17" s="61">
        <v>2</v>
      </c>
      <c r="H17" s="62">
        <v>6</v>
      </c>
      <c r="I17" s="63">
        <v>184</v>
      </c>
      <c r="J17" s="40">
        <v>1853</v>
      </c>
      <c r="K17" s="70" t="s">
        <v>34</v>
      </c>
      <c r="L17" s="61" t="s">
        <v>51</v>
      </c>
      <c r="M17" s="65" t="s">
        <v>52</v>
      </c>
      <c r="N17" s="71" t="s">
        <v>40</v>
      </c>
      <c r="O17" s="7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9"/>
      <c r="AP17" s="49"/>
      <c r="AQ17" s="49"/>
    </row>
    <row r="18" spans="1:43" ht="34.5" customHeight="1" x14ac:dyDescent="0.3">
      <c r="A18" s="34">
        <v>11</v>
      </c>
      <c r="B18" s="47"/>
      <c r="C18" s="69">
        <v>45962</v>
      </c>
      <c r="D18" s="73" t="s">
        <v>33</v>
      </c>
      <c r="E18" s="73">
        <v>25</v>
      </c>
      <c r="F18" s="73">
        <v>25</v>
      </c>
      <c r="G18" s="73">
        <v>2.9</v>
      </c>
      <c r="H18" s="74">
        <v>6</v>
      </c>
      <c r="I18" s="75">
        <v>360</v>
      </c>
      <c r="J18" s="57">
        <v>3979.616743008</v>
      </c>
      <c r="K18" s="70" t="s">
        <v>54</v>
      </c>
      <c r="L18" s="73" t="s">
        <v>39</v>
      </c>
      <c r="M18" s="65" t="s">
        <v>55</v>
      </c>
      <c r="N18" s="71" t="s">
        <v>40</v>
      </c>
      <c r="O18" s="72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9"/>
      <c r="AP18" s="49"/>
      <c r="AQ18" s="49"/>
    </row>
    <row r="19" spans="1:43" ht="34.5" customHeight="1" x14ac:dyDescent="0.3">
      <c r="A19" s="34">
        <v>12</v>
      </c>
      <c r="B19" s="76"/>
      <c r="C19" s="69">
        <v>46023</v>
      </c>
      <c r="D19" s="73" t="s">
        <v>33</v>
      </c>
      <c r="E19" s="73">
        <v>75</v>
      </c>
      <c r="F19" s="73">
        <v>75</v>
      </c>
      <c r="G19" s="73">
        <v>4.2</v>
      </c>
      <c r="H19" s="74">
        <v>6</v>
      </c>
      <c r="I19" s="75">
        <v>36</v>
      </c>
      <c r="J19" s="57">
        <f t="shared" ref="J19" si="2">((E19+F19)-3.2876*G19)*G19*0.0157*H19*I19</f>
        <v>1939.7892431231999</v>
      </c>
      <c r="K19" s="68" t="s">
        <v>42</v>
      </c>
      <c r="L19" s="61" t="s">
        <v>39</v>
      </c>
      <c r="M19" s="65" t="s">
        <v>55</v>
      </c>
      <c r="N19" s="71" t="s">
        <v>40</v>
      </c>
      <c r="O19" s="67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9"/>
      <c r="AP19" s="49"/>
      <c r="AQ19" s="49"/>
    </row>
    <row r="20" spans="1:43" ht="34.5" customHeight="1" x14ac:dyDescent="0.3">
      <c r="A20" s="77">
        <v>1</v>
      </c>
      <c r="B20" s="78" t="s">
        <v>56</v>
      </c>
      <c r="C20" s="69">
        <v>45809</v>
      </c>
      <c r="D20" s="61" t="s">
        <v>33</v>
      </c>
      <c r="E20" s="61">
        <v>42.7</v>
      </c>
      <c r="F20" s="61"/>
      <c r="G20" s="61">
        <v>2.9</v>
      </c>
      <c r="H20" s="62">
        <v>6</v>
      </c>
      <c r="I20" s="63">
        <v>103</v>
      </c>
      <c r="J20" s="40">
        <f>(E20-G20)*G20*0.02466*H20*I20</f>
        <v>1758.9869496000006</v>
      </c>
      <c r="K20" s="52" t="s">
        <v>57</v>
      </c>
      <c r="L20" s="61" t="s">
        <v>58</v>
      </c>
      <c r="M20" s="65" t="s">
        <v>36</v>
      </c>
      <c r="N20" s="71" t="s">
        <v>40</v>
      </c>
      <c r="O20" s="72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46"/>
      <c r="AP20" s="46"/>
      <c r="AQ20" s="46"/>
    </row>
    <row r="21" spans="1:43" ht="34.5" customHeight="1" x14ac:dyDescent="0.3">
      <c r="A21" s="80">
        <v>2</v>
      </c>
      <c r="B21" s="81"/>
      <c r="C21" s="36">
        <v>45901</v>
      </c>
      <c r="D21" s="61" t="s">
        <v>33</v>
      </c>
      <c r="E21" s="61">
        <v>48.6</v>
      </c>
      <c r="F21" s="61"/>
      <c r="G21" s="61">
        <v>2.9</v>
      </c>
      <c r="H21" s="62">
        <v>6</v>
      </c>
      <c r="I21" s="63">
        <v>976</v>
      </c>
      <c r="J21" s="40">
        <f>(E21-G21)*G21*0.02466*H21*I21</f>
        <v>19138.519468800001</v>
      </c>
      <c r="K21" s="64" t="s">
        <v>57</v>
      </c>
      <c r="L21" s="61" t="s">
        <v>59</v>
      </c>
      <c r="M21" s="65" t="s">
        <v>36</v>
      </c>
      <c r="N21" s="66" t="s">
        <v>40</v>
      </c>
      <c r="O21" s="67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82"/>
      <c r="AP21" s="82"/>
      <c r="AQ21" s="82"/>
    </row>
    <row r="22" spans="1:43" ht="34.5" customHeight="1" x14ac:dyDescent="0.3">
      <c r="A22" s="80">
        <v>3</v>
      </c>
      <c r="B22" s="81"/>
      <c r="C22" s="36">
        <v>45931</v>
      </c>
      <c r="D22" s="61" t="s">
        <v>33</v>
      </c>
      <c r="E22" s="61">
        <v>48.6</v>
      </c>
      <c r="F22" s="61"/>
      <c r="G22" s="61">
        <v>3.55</v>
      </c>
      <c r="H22" s="62">
        <v>6.1</v>
      </c>
      <c r="I22" s="63">
        <v>546</v>
      </c>
      <c r="J22" s="40">
        <f>(E22-G22)*G22*0.02466*H22*I22</f>
        <v>13135.26074679</v>
      </c>
      <c r="K22" s="64" t="s">
        <v>57</v>
      </c>
      <c r="L22" s="61" t="s">
        <v>39</v>
      </c>
      <c r="M22" s="65" t="s">
        <v>60</v>
      </c>
      <c r="N22" s="66" t="s">
        <v>40</v>
      </c>
      <c r="O22" s="67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82"/>
      <c r="AP22" s="82"/>
      <c r="AQ22" s="82"/>
    </row>
    <row r="23" spans="1:43" ht="34.5" customHeight="1" x14ac:dyDescent="0.3">
      <c r="A23" s="77">
        <v>4</v>
      </c>
      <c r="B23" s="81"/>
      <c r="C23" s="69">
        <v>45962</v>
      </c>
      <c r="D23" s="73" t="s">
        <v>33</v>
      </c>
      <c r="E23" s="73">
        <v>33.5</v>
      </c>
      <c r="F23" s="73"/>
      <c r="G23" s="73">
        <v>1.8</v>
      </c>
      <c r="H23" s="74">
        <v>6</v>
      </c>
      <c r="I23" s="75">
        <v>935</v>
      </c>
      <c r="J23" s="57">
        <v>24659</v>
      </c>
      <c r="K23" s="68" t="s">
        <v>57</v>
      </c>
      <c r="L23" s="73" t="s">
        <v>58</v>
      </c>
      <c r="M23" s="83" t="s">
        <v>36</v>
      </c>
      <c r="N23" s="84" t="s">
        <v>40</v>
      </c>
      <c r="O23" s="8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82"/>
      <c r="AP23" s="82"/>
      <c r="AQ23" s="82"/>
    </row>
    <row r="24" spans="1:43" ht="34.5" customHeight="1" x14ac:dyDescent="0.3">
      <c r="A24" s="80">
        <v>5</v>
      </c>
      <c r="B24" s="81"/>
      <c r="C24" s="69">
        <v>45992</v>
      </c>
      <c r="D24" s="73" t="s">
        <v>41</v>
      </c>
      <c r="E24" s="73">
        <v>75</v>
      </c>
      <c r="F24" s="73">
        <v>45</v>
      </c>
      <c r="G24" s="73">
        <v>2</v>
      </c>
      <c r="H24" s="74">
        <v>6</v>
      </c>
      <c r="I24" s="75">
        <v>140</v>
      </c>
      <c r="J24" s="57">
        <f>((E24+F24)-3.2876*G24)*G24*0.0157*H24*I24</f>
        <v>2991.6925247999998</v>
      </c>
      <c r="K24" s="64" t="s">
        <v>61</v>
      </c>
      <c r="L24" s="73" t="s">
        <v>59</v>
      </c>
      <c r="M24" s="83" t="s">
        <v>62</v>
      </c>
      <c r="N24" s="84" t="s">
        <v>40</v>
      </c>
      <c r="O24" s="8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82"/>
      <c r="AP24" s="82"/>
      <c r="AQ24" s="82"/>
    </row>
    <row r="25" spans="1:43" ht="34.5" customHeight="1" x14ac:dyDescent="0.3">
      <c r="A25" s="80">
        <v>6</v>
      </c>
      <c r="B25" s="81"/>
      <c r="C25" s="69">
        <v>45931</v>
      </c>
      <c r="D25" s="73" t="s">
        <v>33</v>
      </c>
      <c r="E25" s="73">
        <v>100</v>
      </c>
      <c r="F25" s="73">
        <v>50</v>
      </c>
      <c r="G25" s="73">
        <v>2.1</v>
      </c>
      <c r="H25" s="74">
        <v>6</v>
      </c>
      <c r="I25" s="75">
        <v>180</v>
      </c>
      <c r="J25" s="57">
        <f>((E25+F25)-3.2876*G25)*G25*0.0157*H25*I25</f>
        <v>5095.306553903999</v>
      </c>
      <c r="K25" s="68" t="s">
        <v>61</v>
      </c>
      <c r="L25" s="73" t="s">
        <v>63</v>
      </c>
      <c r="M25" s="83" t="s">
        <v>36</v>
      </c>
      <c r="N25" s="84" t="s">
        <v>40</v>
      </c>
      <c r="O25" s="8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82"/>
      <c r="AP25" s="82"/>
      <c r="AQ25" s="82"/>
    </row>
    <row r="26" spans="1:43" ht="34.5" customHeight="1" thickBot="1" x14ac:dyDescent="0.35">
      <c r="A26" s="77">
        <v>7</v>
      </c>
      <c r="B26" s="86"/>
      <c r="C26" s="69">
        <v>45962</v>
      </c>
      <c r="D26" s="73" t="s">
        <v>33</v>
      </c>
      <c r="E26" s="73">
        <v>42.2</v>
      </c>
      <c r="F26" s="73"/>
      <c r="G26" s="73">
        <v>1.8</v>
      </c>
      <c r="H26" s="74">
        <v>6</v>
      </c>
      <c r="I26" s="75">
        <v>81</v>
      </c>
      <c r="J26" s="57">
        <v>24659</v>
      </c>
      <c r="K26" s="64" t="s">
        <v>57</v>
      </c>
      <c r="L26" s="73" t="s">
        <v>58</v>
      </c>
      <c r="M26" s="83" t="s">
        <v>36</v>
      </c>
      <c r="N26" s="84" t="s">
        <v>40</v>
      </c>
      <c r="O26" s="8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82"/>
      <c r="AP26" s="82"/>
      <c r="AQ26" s="82"/>
    </row>
    <row r="27" spans="1:43" ht="34.5" customHeight="1" thickBot="1" x14ac:dyDescent="0.35">
      <c r="A27" s="87" t="s">
        <v>64</v>
      </c>
      <c r="B27" s="88"/>
      <c r="C27" s="88"/>
      <c r="D27" s="88"/>
      <c r="E27" s="88"/>
      <c r="F27" s="88"/>
      <c r="G27" s="88"/>
      <c r="H27" s="89"/>
      <c r="I27" s="90">
        <f>SUM(I8:I26)</f>
        <v>6649</v>
      </c>
      <c r="J27" s="91">
        <f>SUM(J8:J26)</f>
        <v>167925.26448770758</v>
      </c>
      <c r="K27" s="92" t="s">
        <v>65</v>
      </c>
      <c r="L27" s="93"/>
      <c r="M27" s="93"/>
      <c r="N27" s="93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49"/>
      <c r="AP27" s="49"/>
      <c r="AQ27" s="49"/>
    </row>
    <row r="28" spans="1:43" ht="34.5" customHeight="1" x14ac:dyDescent="0.3">
      <c r="A28" s="96">
        <v>1</v>
      </c>
      <c r="B28" s="97" t="s">
        <v>66</v>
      </c>
      <c r="C28" s="69">
        <v>45536</v>
      </c>
      <c r="D28" s="37" t="s">
        <v>67</v>
      </c>
      <c r="E28" s="37">
        <v>50</v>
      </c>
      <c r="F28" s="37">
        <v>50</v>
      </c>
      <c r="G28" s="37">
        <v>2</v>
      </c>
      <c r="H28" s="38">
        <v>6</v>
      </c>
      <c r="I28" s="39">
        <v>34</v>
      </c>
      <c r="J28" s="57">
        <f t="shared" ref="J28" si="3">((E28+F28)-3.2876*G28)*G28*0.0157*H28*I28</f>
        <v>598.44189888000005</v>
      </c>
      <c r="K28" s="52" t="s">
        <v>68</v>
      </c>
      <c r="L28" s="37" t="s">
        <v>69</v>
      </c>
      <c r="M28" s="42" t="s">
        <v>70</v>
      </c>
      <c r="N28" s="43" t="s">
        <v>65</v>
      </c>
      <c r="O28" s="7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49"/>
      <c r="AP28" s="49"/>
      <c r="AQ28" s="49"/>
    </row>
    <row r="29" spans="1:43" ht="34.5" customHeight="1" x14ac:dyDescent="0.3">
      <c r="A29" s="34">
        <v>2</v>
      </c>
      <c r="B29" s="47"/>
      <c r="C29" s="69">
        <v>45809</v>
      </c>
      <c r="D29" s="37" t="s">
        <v>71</v>
      </c>
      <c r="E29" s="37">
        <v>101.6</v>
      </c>
      <c r="F29" s="37"/>
      <c r="G29" s="37">
        <v>2.9</v>
      </c>
      <c r="H29" s="38">
        <v>6</v>
      </c>
      <c r="I29" s="39">
        <v>76</v>
      </c>
      <c r="J29" s="40">
        <f t="shared" ref="J29" si="4">(E29-G29)*G29*0.02466*H29*I29</f>
        <v>3218.6449007999995</v>
      </c>
      <c r="K29" s="52" t="s">
        <v>72</v>
      </c>
      <c r="L29" s="37" t="s">
        <v>73</v>
      </c>
      <c r="M29" s="98" t="s">
        <v>74</v>
      </c>
      <c r="N29" s="99" t="s">
        <v>65</v>
      </c>
      <c r="O29" s="7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49"/>
      <c r="AP29" s="49"/>
      <c r="AQ29" s="49"/>
    </row>
    <row r="30" spans="1:43" ht="34.5" customHeight="1" x14ac:dyDescent="0.3">
      <c r="A30" s="96">
        <v>3</v>
      </c>
      <c r="B30" s="47"/>
      <c r="C30" s="69">
        <v>45839</v>
      </c>
      <c r="D30" s="100" t="s">
        <v>71</v>
      </c>
      <c r="E30" s="100">
        <v>100</v>
      </c>
      <c r="F30" s="100">
        <v>50</v>
      </c>
      <c r="G30" s="100">
        <v>2.1</v>
      </c>
      <c r="H30" s="101">
        <v>6</v>
      </c>
      <c r="I30" s="102">
        <v>64</v>
      </c>
      <c r="J30" s="57">
        <f t="shared" ref="J30:J31" si="5">((E30+F30)-3.2876*G30)*G30*0.0157*H30*I30</f>
        <v>1811.6645524991998</v>
      </c>
      <c r="K30" s="52" t="s">
        <v>68</v>
      </c>
      <c r="L30" s="37" t="s">
        <v>69</v>
      </c>
      <c r="M30" s="42" t="s">
        <v>75</v>
      </c>
      <c r="N30" s="99" t="s">
        <v>76</v>
      </c>
      <c r="O30" s="7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49"/>
      <c r="AP30" s="49"/>
      <c r="AQ30" s="49"/>
    </row>
    <row r="31" spans="1:43" ht="34.5" customHeight="1" x14ac:dyDescent="0.3">
      <c r="A31" s="96">
        <v>4</v>
      </c>
      <c r="B31" s="47"/>
      <c r="C31" s="69">
        <v>45839</v>
      </c>
      <c r="D31" s="37" t="s">
        <v>67</v>
      </c>
      <c r="E31" s="37">
        <v>100</v>
      </c>
      <c r="F31" s="37">
        <v>50</v>
      </c>
      <c r="G31" s="37">
        <v>2.1</v>
      </c>
      <c r="H31" s="38">
        <v>6</v>
      </c>
      <c r="I31" s="39">
        <v>20</v>
      </c>
      <c r="J31" s="57">
        <f t="shared" si="5"/>
        <v>566.14517265599989</v>
      </c>
      <c r="K31" s="52" t="s">
        <v>68</v>
      </c>
      <c r="L31" s="37" t="s">
        <v>69</v>
      </c>
      <c r="M31" s="42" t="s">
        <v>74</v>
      </c>
      <c r="N31" s="43" t="s">
        <v>77</v>
      </c>
      <c r="O31" s="7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49"/>
      <c r="AP31" s="49"/>
      <c r="AQ31" s="49"/>
    </row>
    <row r="32" spans="1:43" ht="34.5" customHeight="1" x14ac:dyDescent="0.3">
      <c r="A32" s="96">
        <v>5</v>
      </c>
      <c r="B32" s="47"/>
      <c r="C32" s="69">
        <v>45931</v>
      </c>
      <c r="D32" s="37" t="s">
        <v>78</v>
      </c>
      <c r="E32" s="37">
        <v>12.7</v>
      </c>
      <c r="F32" s="37">
        <v>12.7</v>
      </c>
      <c r="G32" s="37">
        <v>1.1000000000000001</v>
      </c>
      <c r="H32" s="38">
        <v>6</v>
      </c>
      <c r="I32" s="39">
        <v>500</v>
      </c>
      <c r="J32" s="40">
        <v>1130</v>
      </c>
      <c r="K32" s="52" t="s">
        <v>79</v>
      </c>
      <c r="L32" s="37" t="s">
        <v>69</v>
      </c>
      <c r="M32" s="42" t="s">
        <v>80</v>
      </c>
      <c r="N32" s="99" t="s">
        <v>65</v>
      </c>
      <c r="O32" s="7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49"/>
      <c r="AP32" s="49"/>
      <c r="AQ32" s="49"/>
    </row>
    <row r="33" spans="1:43" ht="34.5" customHeight="1" x14ac:dyDescent="0.3">
      <c r="A33" s="34">
        <v>6</v>
      </c>
      <c r="B33" s="47"/>
      <c r="C33" s="69">
        <v>45962</v>
      </c>
      <c r="D33" s="37" t="s">
        <v>81</v>
      </c>
      <c r="E33" s="37">
        <v>47.5</v>
      </c>
      <c r="F33" s="37">
        <v>36</v>
      </c>
      <c r="G33" s="37">
        <v>1.3</v>
      </c>
      <c r="H33" s="38">
        <v>6</v>
      </c>
      <c r="I33" s="39">
        <v>2092</v>
      </c>
      <c r="J33" s="57">
        <v>18828</v>
      </c>
      <c r="K33" s="52" t="s">
        <v>82</v>
      </c>
      <c r="L33" s="37" t="s">
        <v>83</v>
      </c>
      <c r="M33" s="42" t="s">
        <v>84</v>
      </c>
      <c r="N33" s="99" t="s">
        <v>85</v>
      </c>
      <c r="O33" s="7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49"/>
      <c r="AP33" s="49"/>
      <c r="AQ33" s="49"/>
    </row>
    <row r="34" spans="1:43" ht="34.5" customHeight="1" x14ac:dyDescent="0.3">
      <c r="A34" s="96">
        <v>7</v>
      </c>
      <c r="B34" s="47"/>
      <c r="C34" s="69">
        <v>45992</v>
      </c>
      <c r="D34" s="61" t="s">
        <v>71</v>
      </c>
      <c r="E34" s="61">
        <v>100</v>
      </c>
      <c r="F34" s="61">
        <v>50</v>
      </c>
      <c r="G34" s="61">
        <v>2.9</v>
      </c>
      <c r="H34" s="62">
        <v>6</v>
      </c>
      <c r="I34" s="63">
        <v>200</v>
      </c>
      <c r="J34" s="57">
        <f>((E34+F34)-3.2876*G34)*G34*0.0157*H34*I34</f>
        <v>7674.4981905599989</v>
      </c>
      <c r="K34" s="52" t="s">
        <v>68</v>
      </c>
      <c r="L34" s="61" t="s">
        <v>69</v>
      </c>
      <c r="M34" s="65" t="s">
        <v>86</v>
      </c>
      <c r="N34" s="71" t="s">
        <v>65</v>
      </c>
      <c r="O34" s="7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49"/>
      <c r="AP34" s="49"/>
      <c r="AQ34" s="49"/>
    </row>
    <row r="35" spans="1:43" ht="34.5" customHeight="1" x14ac:dyDescent="0.3">
      <c r="A35" s="96">
        <v>8</v>
      </c>
      <c r="B35" s="47"/>
      <c r="C35" s="69">
        <v>45992</v>
      </c>
      <c r="D35" s="37" t="s">
        <v>81</v>
      </c>
      <c r="E35" s="37">
        <v>59.9</v>
      </c>
      <c r="F35" s="37"/>
      <c r="G35" s="37">
        <v>1.8</v>
      </c>
      <c r="H35" s="38">
        <v>6</v>
      </c>
      <c r="I35" s="39">
        <v>671</v>
      </c>
      <c r="J35" s="40">
        <f t="shared" ref="J35:J36" si="6">(E35-G35)*G35*0.02466*H35*I35</f>
        <v>10382.8237128</v>
      </c>
      <c r="K35" s="52" t="s">
        <v>87</v>
      </c>
      <c r="L35" s="37" t="s">
        <v>83</v>
      </c>
      <c r="M35" s="98" t="s">
        <v>80</v>
      </c>
      <c r="N35" s="99" t="s">
        <v>65</v>
      </c>
      <c r="O35" s="7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49"/>
      <c r="AP35" s="49"/>
      <c r="AQ35" s="49"/>
    </row>
    <row r="36" spans="1:43" ht="34.5" customHeight="1" x14ac:dyDescent="0.3">
      <c r="A36" s="96">
        <v>9</v>
      </c>
      <c r="B36" s="47"/>
      <c r="C36" s="69">
        <v>46023</v>
      </c>
      <c r="D36" s="100" t="s">
        <v>81</v>
      </c>
      <c r="E36" s="100">
        <v>60.5</v>
      </c>
      <c r="F36" s="100"/>
      <c r="G36" s="100">
        <v>3.6</v>
      </c>
      <c r="H36" s="101">
        <v>6</v>
      </c>
      <c r="I36" s="102">
        <v>23</v>
      </c>
      <c r="J36" s="40">
        <f t="shared" si="6"/>
        <v>697.08690719999993</v>
      </c>
      <c r="K36" s="52" t="s">
        <v>87</v>
      </c>
      <c r="L36" s="37" t="s">
        <v>73</v>
      </c>
      <c r="M36" s="42" t="s">
        <v>88</v>
      </c>
      <c r="N36" s="99" t="s">
        <v>65</v>
      </c>
      <c r="O36" s="72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49"/>
      <c r="AP36" s="49"/>
      <c r="AQ36" s="49"/>
    </row>
    <row r="37" spans="1:43" ht="34.5" customHeight="1" x14ac:dyDescent="0.3">
      <c r="A37" s="34">
        <v>10</v>
      </c>
      <c r="B37" s="47"/>
      <c r="C37" s="69">
        <v>46023</v>
      </c>
      <c r="D37" s="100" t="s">
        <v>81</v>
      </c>
      <c r="E37" s="100">
        <v>75</v>
      </c>
      <c r="F37" s="100">
        <v>75</v>
      </c>
      <c r="G37" s="100">
        <v>3</v>
      </c>
      <c r="H37" s="101">
        <v>6</v>
      </c>
      <c r="I37" s="102">
        <v>45</v>
      </c>
      <c r="J37" s="57">
        <f t="shared" ref="J37" si="7">((E37+F37)-3.2876*G37)*G37*0.0157*H37*I37</f>
        <v>1782.1247724</v>
      </c>
      <c r="K37" s="52" t="s">
        <v>87</v>
      </c>
      <c r="L37" s="37" t="s">
        <v>83</v>
      </c>
      <c r="M37" s="42" t="s">
        <v>88</v>
      </c>
      <c r="N37" s="99" t="s">
        <v>65</v>
      </c>
      <c r="O37" s="72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49"/>
      <c r="AP37" s="49"/>
      <c r="AQ37" s="49"/>
    </row>
    <row r="38" spans="1:43" ht="34.5" customHeight="1" x14ac:dyDescent="0.3">
      <c r="A38" s="96">
        <v>11</v>
      </c>
      <c r="B38" s="47"/>
      <c r="C38" s="69">
        <v>46082</v>
      </c>
      <c r="D38" s="100" t="s">
        <v>81</v>
      </c>
      <c r="E38" s="100">
        <v>76.2</v>
      </c>
      <c r="F38" s="100"/>
      <c r="G38" s="100">
        <v>1.4</v>
      </c>
      <c r="H38" s="101">
        <v>6</v>
      </c>
      <c r="I38" s="102">
        <v>27</v>
      </c>
      <c r="J38" s="40">
        <f>(E38-G38)*G38*0.02466*H38*I38</f>
        <v>418.34802239999993</v>
      </c>
      <c r="K38" s="52" t="s">
        <v>87</v>
      </c>
      <c r="L38" s="37" t="s">
        <v>73</v>
      </c>
      <c r="M38" s="42" t="s">
        <v>88</v>
      </c>
      <c r="N38" s="99" t="s">
        <v>65</v>
      </c>
      <c r="O38" s="72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49"/>
      <c r="AP38" s="49"/>
      <c r="AQ38" s="49"/>
    </row>
    <row r="39" spans="1:43" ht="34.5" customHeight="1" x14ac:dyDescent="0.3">
      <c r="A39" s="80">
        <v>1</v>
      </c>
      <c r="B39" s="103" t="s">
        <v>89</v>
      </c>
      <c r="C39" s="69">
        <v>45505</v>
      </c>
      <c r="D39" s="61" t="s">
        <v>90</v>
      </c>
      <c r="E39" s="61">
        <v>50</v>
      </c>
      <c r="F39" s="61">
        <v>50</v>
      </c>
      <c r="G39" s="61">
        <v>1.4</v>
      </c>
      <c r="H39" s="62">
        <v>5.6</v>
      </c>
      <c r="I39" s="63">
        <v>88</v>
      </c>
      <c r="J39" s="57">
        <f t="shared" ref="J39:J49" si="8">((E39+F39)-3.2876*G39)*G39*0.0157*H39*I39</f>
        <v>1033.3197817958398</v>
      </c>
      <c r="K39" s="70" t="s">
        <v>91</v>
      </c>
      <c r="L39" s="37" t="s">
        <v>92</v>
      </c>
      <c r="M39" s="42" t="s">
        <v>93</v>
      </c>
      <c r="N39" s="99" t="s">
        <v>65</v>
      </c>
      <c r="O39" s="8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82"/>
      <c r="AP39" s="82"/>
      <c r="AQ39" s="82"/>
    </row>
    <row r="40" spans="1:43" ht="34.5" customHeight="1" x14ac:dyDescent="0.3">
      <c r="A40" s="80">
        <v>2</v>
      </c>
      <c r="B40" s="103"/>
      <c r="C40" s="69">
        <v>45658</v>
      </c>
      <c r="D40" s="61" t="s">
        <v>90</v>
      </c>
      <c r="E40" s="61">
        <v>100</v>
      </c>
      <c r="F40" s="61">
        <v>100</v>
      </c>
      <c r="G40" s="61">
        <v>4.2</v>
      </c>
      <c r="H40" s="62">
        <v>8.6</v>
      </c>
      <c r="I40" s="63">
        <v>7</v>
      </c>
      <c r="J40" s="57">
        <f t="shared" si="8"/>
        <v>739.10584646303994</v>
      </c>
      <c r="K40" s="52" t="s">
        <v>91</v>
      </c>
      <c r="L40" s="61" t="s">
        <v>92</v>
      </c>
      <c r="M40" s="65" t="s">
        <v>93</v>
      </c>
      <c r="N40" s="99" t="s">
        <v>65</v>
      </c>
      <c r="O40" s="8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82"/>
      <c r="AP40" s="82"/>
      <c r="AQ40" s="82"/>
    </row>
    <row r="41" spans="1:43" ht="34.5" customHeight="1" x14ac:dyDescent="0.3">
      <c r="A41" s="80">
        <v>3</v>
      </c>
      <c r="B41" s="103"/>
      <c r="C41" s="69">
        <v>45689</v>
      </c>
      <c r="D41" s="61" t="s">
        <v>90</v>
      </c>
      <c r="E41" s="61">
        <v>50</v>
      </c>
      <c r="F41" s="61">
        <v>50</v>
      </c>
      <c r="G41" s="61">
        <v>2</v>
      </c>
      <c r="H41" s="62">
        <v>6</v>
      </c>
      <c r="I41" s="63">
        <v>18</v>
      </c>
      <c r="J41" s="57">
        <f t="shared" si="8"/>
        <v>316.82218176000003</v>
      </c>
      <c r="K41" s="70" t="s">
        <v>91</v>
      </c>
      <c r="L41" s="37" t="s">
        <v>92</v>
      </c>
      <c r="M41" s="42" t="s">
        <v>94</v>
      </c>
      <c r="N41" s="99" t="s">
        <v>65</v>
      </c>
      <c r="O41" s="8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82"/>
      <c r="AP41" s="82"/>
      <c r="AQ41" s="82"/>
    </row>
    <row r="42" spans="1:43" ht="34.5" customHeight="1" x14ac:dyDescent="0.3">
      <c r="A42" s="80">
        <v>4</v>
      </c>
      <c r="B42" s="103"/>
      <c r="C42" s="69">
        <v>45748</v>
      </c>
      <c r="D42" s="61" t="s">
        <v>81</v>
      </c>
      <c r="E42" s="61">
        <v>100</v>
      </c>
      <c r="F42" s="61">
        <v>50</v>
      </c>
      <c r="G42" s="61">
        <v>3</v>
      </c>
      <c r="H42" s="62">
        <v>6</v>
      </c>
      <c r="I42" s="63">
        <v>10</v>
      </c>
      <c r="J42" s="57">
        <f t="shared" si="8"/>
        <v>396.02772719999996</v>
      </c>
      <c r="K42" s="68" t="s">
        <v>95</v>
      </c>
      <c r="L42" s="61" t="s">
        <v>96</v>
      </c>
      <c r="M42" s="83" t="s">
        <v>80</v>
      </c>
      <c r="N42" s="99" t="s">
        <v>65</v>
      </c>
      <c r="O42" s="8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82"/>
      <c r="AP42" s="82"/>
      <c r="AQ42" s="82"/>
    </row>
    <row r="43" spans="1:43" ht="34.5" customHeight="1" x14ac:dyDescent="0.3">
      <c r="A43" s="80">
        <v>5</v>
      </c>
      <c r="B43" s="103"/>
      <c r="C43" s="69">
        <v>45839</v>
      </c>
      <c r="D43" s="61" t="s">
        <v>90</v>
      </c>
      <c r="E43" s="61">
        <v>100</v>
      </c>
      <c r="F43" s="61">
        <v>50</v>
      </c>
      <c r="G43" s="61">
        <v>3</v>
      </c>
      <c r="H43" s="62">
        <v>6</v>
      </c>
      <c r="I43" s="63">
        <v>50</v>
      </c>
      <c r="J43" s="57">
        <f t="shared" si="8"/>
        <v>1980.1386359999999</v>
      </c>
      <c r="K43" s="70" t="s">
        <v>91</v>
      </c>
      <c r="L43" s="37" t="s">
        <v>92</v>
      </c>
      <c r="M43" s="42" t="s">
        <v>93</v>
      </c>
      <c r="N43" s="99" t="s">
        <v>65</v>
      </c>
      <c r="O43" s="8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82"/>
      <c r="AP43" s="82"/>
      <c r="AQ43" s="82"/>
    </row>
    <row r="44" spans="1:43" ht="34.5" customHeight="1" x14ac:dyDescent="0.3">
      <c r="A44" s="80">
        <v>6</v>
      </c>
      <c r="B44" s="103"/>
      <c r="C44" s="69">
        <v>45901</v>
      </c>
      <c r="D44" s="100" t="s">
        <v>90</v>
      </c>
      <c r="E44" s="100">
        <v>100</v>
      </c>
      <c r="F44" s="100">
        <v>100</v>
      </c>
      <c r="G44" s="100">
        <v>2.2999999999999998</v>
      </c>
      <c r="H44" s="101">
        <v>6</v>
      </c>
      <c r="I44" s="102">
        <v>21</v>
      </c>
      <c r="J44" s="57">
        <f t="shared" si="8"/>
        <v>875.56832460719988</v>
      </c>
      <c r="K44" s="52" t="s">
        <v>91</v>
      </c>
      <c r="L44" s="37" t="s">
        <v>92</v>
      </c>
      <c r="M44" s="42" t="s">
        <v>93</v>
      </c>
      <c r="N44" s="99" t="s">
        <v>97</v>
      </c>
      <c r="O44" s="8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82"/>
      <c r="AP44" s="82"/>
      <c r="AQ44" s="82"/>
    </row>
    <row r="45" spans="1:43" ht="34.5" customHeight="1" x14ac:dyDescent="0.3">
      <c r="A45" s="80">
        <v>7</v>
      </c>
      <c r="B45" s="103"/>
      <c r="C45" s="69">
        <v>45931</v>
      </c>
      <c r="D45" s="73" t="s">
        <v>67</v>
      </c>
      <c r="E45" s="73">
        <v>100</v>
      </c>
      <c r="F45" s="73">
        <v>50</v>
      </c>
      <c r="G45" s="73">
        <v>2.1</v>
      </c>
      <c r="H45" s="74">
        <v>6</v>
      </c>
      <c r="I45" s="75">
        <v>478</v>
      </c>
      <c r="J45" s="57">
        <f t="shared" si="8"/>
        <v>13530.869626478398</v>
      </c>
      <c r="K45" s="70" t="s">
        <v>95</v>
      </c>
      <c r="L45" s="37" t="s">
        <v>92</v>
      </c>
      <c r="M45" s="42" t="s">
        <v>93</v>
      </c>
      <c r="N45" s="71" t="s">
        <v>98</v>
      </c>
      <c r="O45" s="8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82"/>
      <c r="AP45" s="82"/>
      <c r="AQ45" s="82"/>
    </row>
    <row r="46" spans="1:43" ht="34.5" customHeight="1" x14ac:dyDescent="0.3">
      <c r="A46" s="80">
        <v>8</v>
      </c>
      <c r="B46" s="103"/>
      <c r="C46" s="36">
        <v>45931</v>
      </c>
      <c r="D46" s="61" t="s">
        <v>90</v>
      </c>
      <c r="E46" s="61">
        <v>100</v>
      </c>
      <c r="F46" s="61">
        <v>50</v>
      </c>
      <c r="G46" s="61">
        <v>3.2</v>
      </c>
      <c r="H46" s="62">
        <v>6</v>
      </c>
      <c r="I46" s="63">
        <v>200</v>
      </c>
      <c r="J46" s="57">
        <f t="shared" si="8"/>
        <v>8408.9509478399996</v>
      </c>
      <c r="K46" s="70" t="s">
        <v>91</v>
      </c>
      <c r="L46" s="37" t="s">
        <v>92</v>
      </c>
      <c r="M46" s="42" t="s">
        <v>93</v>
      </c>
      <c r="N46" s="66" t="s">
        <v>97</v>
      </c>
      <c r="O46" s="8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82"/>
      <c r="AP46" s="82"/>
      <c r="AQ46" s="82"/>
    </row>
    <row r="47" spans="1:43" ht="34.5" customHeight="1" x14ac:dyDescent="0.3">
      <c r="A47" s="80">
        <v>9</v>
      </c>
      <c r="B47" s="103"/>
      <c r="C47" s="69">
        <v>45962</v>
      </c>
      <c r="D47" s="61" t="s">
        <v>81</v>
      </c>
      <c r="E47" s="61">
        <v>100</v>
      </c>
      <c r="F47" s="61">
        <v>50</v>
      </c>
      <c r="G47" s="61">
        <v>1.4</v>
      </c>
      <c r="H47" s="62">
        <v>6</v>
      </c>
      <c r="I47" s="63">
        <v>41</v>
      </c>
      <c r="J47" s="57">
        <f t="shared" si="8"/>
        <v>786.17515730879995</v>
      </c>
      <c r="K47" s="52" t="s">
        <v>95</v>
      </c>
      <c r="L47" s="37" t="s">
        <v>92</v>
      </c>
      <c r="M47" s="83" t="s">
        <v>80</v>
      </c>
      <c r="N47" s="99" t="s">
        <v>65</v>
      </c>
      <c r="O47" s="8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82"/>
      <c r="AP47" s="82"/>
      <c r="AQ47" s="82"/>
    </row>
    <row r="48" spans="1:43" ht="34.5" customHeight="1" x14ac:dyDescent="0.3">
      <c r="A48" s="80">
        <v>10</v>
      </c>
      <c r="B48" s="103"/>
      <c r="C48" s="69">
        <v>45962</v>
      </c>
      <c r="D48" s="73" t="s">
        <v>71</v>
      </c>
      <c r="E48" s="73">
        <v>100</v>
      </c>
      <c r="F48" s="73">
        <v>100</v>
      </c>
      <c r="G48" s="73">
        <v>3</v>
      </c>
      <c r="H48" s="74">
        <v>6</v>
      </c>
      <c r="I48" s="75">
        <v>325</v>
      </c>
      <c r="J48" s="57">
        <f t="shared" si="8"/>
        <v>17463.151134</v>
      </c>
      <c r="K48" s="68" t="s">
        <v>95</v>
      </c>
      <c r="L48" s="37" t="s">
        <v>92</v>
      </c>
      <c r="M48" s="83" t="s">
        <v>80</v>
      </c>
      <c r="N48" s="71" t="s">
        <v>97</v>
      </c>
      <c r="O48" s="8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82"/>
      <c r="AP48" s="82"/>
      <c r="AQ48" s="82"/>
    </row>
    <row r="49" spans="1:43" ht="34.5" customHeight="1" x14ac:dyDescent="0.3">
      <c r="A49" s="80">
        <v>11</v>
      </c>
      <c r="B49" s="103"/>
      <c r="C49" s="69">
        <v>45962</v>
      </c>
      <c r="D49" s="100" t="s">
        <v>99</v>
      </c>
      <c r="E49" s="100">
        <v>100</v>
      </c>
      <c r="F49" s="100">
        <v>100</v>
      </c>
      <c r="G49" s="100">
        <v>2.1</v>
      </c>
      <c r="H49" s="101">
        <v>6</v>
      </c>
      <c r="I49" s="102">
        <v>414</v>
      </c>
      <c r="J49" s="57">
        <f t="shared" si="8"/>
        <v>15814.079073979199</v>
      </c>
      <c r="K49" s="68" t="s">
        <v>95</v>
      </c>
      <c r="L49" s="100" t="s">
        <v>96</v>
      </c>
      <c r="M49" s="83" t="s">
        <v>80</v>
      </c>
      <c r="N49" s="99" t="s">
        <v>65</v>
      </c>
      <c r="O49" s="8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82"/>
      <c r="AP49" s="82"/>
      <c r="AQ49" s="82"/>
    </row>
    <row r="50" spans="1:43" ht="34.5" customHeight="1" thickBot="1" x14ac:dyDescent="0.35">
      <c r="A50" s="80">
        <v>12</v>
      </c>
      <c r="B50" s="103"/>
      <c r="C50" s="36">
        <v>45992</v>
      </c>
      <c r="D50" s="61" t="s">
        <v>71</v>
      </c>
      <c r="E50" s="61">
        <v>48.1</v>
      </c>
      <c r="F50" s="61"/>
      <c r="G50" s="61">
        <v>2</v>
      </c>
      <c r="H50" s="62">
        <v>6</v>
      </c>
      <c r="I50" s="63">
        <v>182</v>
      </c>
      <c r="J50" s="40">
        <f>(E50-G50)*G50*0.02466*H50*I50</f>
        <v>2482.8279840000005</v>
      </c>
      <c r="K50" s="68" t="s">
        <v>100</v>
      </c>
      <c r="L50" s="37" t="s">
        <v>92</v>
      </c>
      <c r="M50" s="42" t="s">
        <v>101</v>
      </c>
      <c r="N50" s="99" t="s">
        <v>65</v>
      </c>
      <c r="O50" s="8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82"/>
      <c r="AP50" s="82"/>
      <c r="AQ50" s="82"/>
    </row>
    <row r="51" spans="1:43" ht="33.75" customHeight="1" thickBot="1" x14ac:dyDescent="0.35">
      <c r="A51" s="87" t="s">
        <v>102</v>
      </c>
      <c r="B51" s="88"/>
      <c r="C51" s="88"/>
      <c r="D51" s="88"/>
      <c r="E51" s="88"/>
      <c r="F51" s="88"/>
      <c r="G51" s="88"/>
      <c r="H51" s="89"/>
      <c r="I51" s="90">
        <f>SUM(I28:I50)</f>
        <v>5586</v>
      </c>
      <c r="J51" s="90">
        <f>SUM(J28:J50)</f>
        <v>110934.81455162767</v>
      </c>
      <c r="K51" s="92" t="s">
        <v>65</v>
      </c>
      <c r="L51" s="93"/>
      <c r="M51" s="93"/>
      <c r="N51" s="93"/>
      <c r="O51" s="94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82"/>
      <c r="AP51" s="82"/>
      <c r="AQ51" s="82"/>
    </row>
    <row r="52" spans="1:43" ht="40.5" customHeight="1" thickBot="1" x14ac:dyDescent="0.35">
      <c r="A52" s="104" t="s">
        <v>103</v>
      </c>
      <c r="B52" s="105"/>
      <c r="C52" s="105"/>
      <c r="D52" s="105"/>
      <c r="E52" s="105"/>
      <c r="F52" s="105"/>
      <c r="G52" s="105"/>
      <c r="H52" s="106"/>
      <c r="I52" s="107">
        <f>SUM(I51,I27)</f>
        <v>12235</v>
      </c>
      <c r="J52" s="108">
        <f>SUM(J51,J27)</f>
        <v>278860.07903933525</v>
      </c>
      <c r="K52" s="109" t="s">
        <v>104</v>
      </c>
      <c r="L52" s="110"/>
      <c r="M52" s="110"/>
      <c r="N52" s="110"/>
      <c r="O52" s="111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</row>
    <row r="53" spans="1:43" ht="39.75" thickTop="1" x14ac:dyDescent="0.3"/>
  </sheetData>
  <mergeCells count="20">
    <mergeCell ref="A51:H51"/>
    <mergeCell ref="K51:O51"/>
    <mergeCell ref="A52:H52"/>
    <mergeCell ref="K52:O52"/>
    <mergeCell ref="B20:B26"/>
    <mergeCell ref="AO20:AQ20"/>
    <mergeCell ref="A27:H27"/>
    <mergeCell ref="K27:O27"/>
    <mergeCell ref="B28:B38"/>
    <mergeCell ref="B39:B50"/>
    <mergeCell ref="AS2:AS3"/>
    <mergeCell ref="AT2:BE2"/>
    <mergeCell ref="BF2:BF3"/>
    <mergeCell ref="A7:B7"/>
    <mergeCell ref="E7:F7"/>
    <mergeCell ref="B8:B19"/>
    <mergeCell ref="AO8:AQ8"/>
    <mergeCell ref="AO9:AQ9"/>
    <mergeCell ref="AO10:AQ10"/>
    <mergeCell ref="AO11:AQ11"/>
  </mergeCells>
  <phoneticPr fontId="3" type="noConversion"/>
  <printOptions horizontalCentered="1" verticalCentered="1"/>
  <pageMargins left="0" right="0" top="0" bottom="0" header="0" footer="0"/>
  <pageSetup paperSize="9" scale="44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26.3월</vt:lpstr>
      <vt:lpstr>'26.3월'!Print_Area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2026-03-30T05:29:04Z</dcterms:created>
  <dcterms:modified xsi:type="dcterms:W3CDTF">2026-03-30T05:29:09Z</dcterms:modified>
</cp:coreProperties>
</file>